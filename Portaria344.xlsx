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ton.freitas\Desktop\Pedido\"/>
    </mc:Choice>
  </mc:AlternateContent>
  <xr:revisionPtr revIDLastSave="0" documentId="13_ncr:1_{4CB0AD1A-7F80-477A-9B8C-44AD883D35F3}" xr6:coauthVersionLast="47" xr6:coauthVersionMax="47" xr10:uidLastSave="{00000000-0000-0000-0000-000000000000}"/>
  <bookViews>
    <workbookView xWindow="-120" yWindow="-120" windowWidth="29040" windowHeight="15840" xr2:uid="{57D6D8B4-35F2-4C26-BB59-72E1A644F69A}"/>
  </bookViews>
  <sheets>
    <sheet name="Portaria344" sheetId="1" r:id="rId1"/>
  </sheets>
  <definedNames>
    <definedName name="_xlnm._FilterDatabase" localSheetId="0" hidden="1">Portaria344!$A$1:$B$1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<sst xmlns="http://schemas.openxmlformats.org/spreadsheetml/2006/main" count="67" uniqueCount="67">
  <si>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Código</t>
  </si>
  <si>
    <t>A CIDO VALPRA ICO 50MG/ML XAROPE 100ML</t>
  </si>
  <si>
    <t>AMITRIPTILINA 25 MG COMPRIMIDO</t>
  </si>
  <si>
    <t>BIPERIDENO 2MG</t>
  </si>
  <si>
    <t>CARBAMAZEPINA 200 MG COMPRIMIDO</t>
  </si>
  <si>
    <t>CLONAZEPAM 0,5 MG COMPRIMIDO</t>
  </si>
  <si>
    <t>CLONAZEPAM 2,5 MG/ML SOL. ORAL FR</t>
  </si>
  <si>
    <t>CLORIDRATO DE DEXMEDETOMIDINA 100MCG/ML  2ML SOLUA A O INJETA VEL 2ML</t>
  </si>
  <si>
    <t>CLORIDRATO DE TRAMADOL 100MG RETARD</t>
  </si>
  <si>
    <t>CLORIDRATO DE TRAMADOL 50MG/1ML (100MG/2ML) SOLUA A O INJETA VEL 2ML</t>
  </si>
  <si>
    <t>CLORPROMAZINA 100 MG COMPRIMIDO</t>
  </si>
  <si>
    <t>CLORPROMAZINA 25 MG COMPRIMIDO</t>
  </si>
  <si>
    <t>CLORPROMAZINA 40MG/ML 20ML SOLUA A O ORAL</t>
  </si>
  <si>
    <t>CLORPROMAZINA 5MG/ML 5ML SOLUA A O INJETA VEL</t>
  </si>
  <si>
    <t>DIAZEPAM 10 MG COMPRIMIDO</t>
  </si>
  <si>
    <t>DIAZEPAM 5 MG COMPRIMIDO</t>
  </si>
  <si>
    <t>DIAZEPAM 5MG/ML 2ML SOLUA A O INJETA VEL</t>
  </si>
  <si>
    <t>ESCETAMINA CLORIDRATO 50MG/ML 10 ML SOLUCAO INJETAVEL</t>
  </si>
  <si>
    <t>ETOMIDATO 2MG/ML 10ML SOLUA A O INJETA VEL</t>
  </si>
  <si>
    <t>FENITOINA 100 MG COMPRIMIDO</t>
  </si>
  <si>
    <t>FENITOINA 50 MG/ML 5 ML SOLUA A O INJETA VEL</t>
  </si>
  <si>
    <t>FENOBARBITAL 100 MG COMPRIMIDO</t>
  </si>
  <si>
    <t>FENOBARBITAL SA DICO 100MGML 2ML SOLUA A O INJETA VEL, USO ENDOVENOSO</t>
  </si>
  <si>
    <t>FENOBARBITAL SA DICO 40MG/ML 20ML SOLUA A O ORAL GOTAS</t>
  </si>
  <si>
    <t>FENTANILA CITRATO 0,05MG/ML 10ML SOLUA A O INJETA VEL</t>
  </si>
  <si>
    <t>FENTANILA CITRATO 0,05MG/ML 2ML SOLUA A O INJETA VEL</t>
  </si>
  <si>
    <t>FLUMAZENIL 0,1MG/ML 5ML SOLUA A O INJETA VEL</t>
  </si>
  <si>
    <t>FLUOXETINA 20 MG CA PSULA</t>
  </si>
  <si>
    <t>GABAPENTINA 300MG CAPSULA</t>
  </si>
  <si>
    <t>HALOPERIDOL 2MG/ML 20ML SOLUA A O ORAL</t>
  </si>
  <si>
    <t>HALOPERIDOL 5 MG COMPRIMIDO</t>
  </si>
  <si>
    <t>HALOPERIDOL 5MG/ML 1ML SOLUA A O INJETA VEL</t>
  </si>
  <si>
    <t>LEVETIRACETAM 100MG/ML SOLUA A O ORAL 150ML</t>
  </si>
  <si>
    <t>LEVETIRACETAM 250MG COMPRIMIDO</t>
  </si>
  <si>
    <t>LEVETIRACETAM 750MG COMPRIMIDO</t>
  </si>
  <si>
    <t>METADONA 10MG COMPRIMIDO</t>
  </si>
  <si>
    <t>MIDAZOLAM  2MGML (SOLUA A O ORAL) FRASCO 10ML</t>
  </si>
  <si>
    <t>MIDAZOLAM 5MG/ML 3ML SOLUA A O INJETA VEL</t>
  </si>
  <si>
    <t>MIDAZOLAN 5MG/ML 10ML SOLUA A O INJETA VEL</t>
  </si>
  <si>
    <t>MORFINA 10MG COMPRIMIDO</t>
  </si>
  <si>
    <t>MORFINA, SULFATO 10MG/ML 1 ML SOLUA A O INJETA VEL</t>
  </si>
  <si>
    <t>MORFINA, SULFATO 1MG/ML  2ML  SOLUA A O INJETA VEL</t>
  </si>
  <si>
    <t>NALOXONA CLORIDRATO 0,4MG/ML 1ML SOLUA A O INJETA VEL</t>
  </si>
  <si>
    <t>PARACETAMOL + CODEA NA 500MG +30MG COMPRIMIDO</t>
  </si>
  <si>
    <t>PROPOFOL 10 MG/ML 20 ML EMULSA O INJETA VEL</t>
  </si>
  <si>
    <t>QUETIAPINA 25 MG COMPRIMIDO</t>
  </si>
  <si>
    <t>SEVOFLURANO 250ML, LIQUIDO, ANESTA SICO INALANTE</t>
  </si>
  <si>
    <t>TOPIRAMATO 100MG COMPRIMIDO</t>
  </si>
  <si>
    <t>TOPIRAMATO 50MG COMPRIMIDO</t>
  </si>
  <si>
    <t>Portaria344</t>
  </si>
  <si>
    <t>CARBAMAZEPINA 20MG/ML SUSPENSÃO ORAL 100ML</t>
  </si>
  <si>
    <t>CARBONATO LITIO 300 MG COMP.</t>
  </si>
  <si>
    <t>GABAPENTINA 10MG/ML 100ML SOLUÇÃO ORAL</t>
  </si>
  <si>
    <t>ISOFLURANO 100ML, ANESTÉSICO INALATÓRIO</t>
  </si>
  <si>
    <t>MISOPROSTOL 200MCG COMPRIMIDO</t>
  </si>
  <si>
    <t>MISOPROSTOL 25 MCG COMPRIMIDO</t>
  </si>
  <si>
    <t>MORFINA, SULFATO 0,2MG/ML  1ML  SOLUÇÃO INJETÁVEL</t>
  </si>
  <si>
    <t>MORFINA SULFATO 10 MG/ML SOLUÇÃO ORAL GOTAS 60 ML</t>
  </si>
  <si>
    <t>PERICIAZINA 4%(40MG/ML) 20ML SOLUÇÃO ORAL GOTAS</t>
  </si>
  <si>
    <t>PROPOFOL 10MG/ML 50ML EMULSÃO INJETÁVEL</t>
  </si>
  <si>
    <t>PROPOFOL 10MG/ML FRASCO-AMPOLA 100ML</t>
  </si>
  <si>
    <t>REMIFENTANILA 2MG SOLUÇÃO INJETÁVEL</t>
  </si>
  <si>
    <t>RISPERIDONA 1MG/ML SOLUÇÃO ORAL FRASCO 30 ML</t>
  </si>
  <si>
    <t>SUFENTANILA CITRATO 50MCG/ML 1ML SOLUÇÃO INJETAVEL</t>
  </si>
  <si>
    <t>SUFENTANILA CITRATO 5MCG/ML 2ML INJETAVEL</t>
  </si>
  <si>
    <t>TOPIRAMATO 25MG COMPRIMIDO</t>
  </si>
  <si>
    <t>PARECOXIBE SODICO 40 MG PO LIOFILO INJETAVEL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</si>
</sst>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1" fontId="2" fillId="3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" fontId="2" fillId="3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4" xfId="0" applyBorder="1"/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3C4A-752A-430F-A953-B58C9F8B6443}">
  <dimension ref="A1:B66"/>
  <sheetViews>
    <sheetView tabSelected="1" workbookViewId="0">
      <selection activeCell="B9" sqref="B9"/>
    </sheetView>
  </sheetViews>
  <sheetFormatPr defaultRowHeight="15" x14ac:dyDescent="0.25"/>
  <cols>
    <col min="1" max="1" width="15.5703125" customWidth="1"/>
    <col min="2" max="2" width="73.140625" bestFit="1" customWidth="1"/>
  </cols>
  <sheetData>
    <row r="1" spans="1:2" x14ac:dyDescent="0.25">
      <c r="A1" s="1" t="s">
        <v>0</v>
      </c>
      <c r="B1" s="2" t="s">
        <v>49</v>
      </c>
    </row>
    <row r="2" spans="1:2" x14ac:dyDescent="0.25">
      <c r="A2" s="5">
        <v>423064</v>
      </c>
      <c r="B2" s="3" t="s">
        <v>1</v>
      </c>
    </row>
    <row r="3" spans="1:2" x14ac:dyDescent="0.25">
      <c r="A3" s="6">
        <v>13820</v>
      </c>
      <c r="B3" s="4" t="s">
        <v>2</v>
      </c>
    </row>
    <row r="4" spans="1:2" x14ac:dyDescent="0.25">
      <c r="A4" s="5">
        <v>16772</v>
      </c>
      <c r="B4" s="3" t="s">
        <v>3</v>
      </c>
    </row>
    <row r="5" spans="1:2" x14ac:dyDescent="0.25">
      <c r="A5" s="6">
        <v>13994</v>
      </c>
      <c r="B5" s="4" t="s">
        <v>4</v>
      </c>
    </row>
    <row r="6" spans="1:2" x14ac:dyDescent="0.25">
      <c r="A6" s="8">
        <v>169650</v>
      </c>
      <c r="B6" s="11" t="s">
        <v>50</v>
      </c>
    </row>
    <row r="7" spans="1:2" x14ac:dyDescent="0.25">
      <c r="A7" s="8">
        <v>14010</v>
      </c>
      <c r="B7" s="11" t="s">
        <v>51</v>
      </c>
    </row>
    <row r="8" spans="1:2" x14ac:dyDescent="0.25">
      <c r="A8" s="5">
        <v>14184</v>
      </c>
      <c r="B8" s="3" t="s">
        <v>5</v>
      </c>
    </row>
    <row r="9" spans="1:2" x14ac:dyDescent="0.25">
      <c r="A9" s="6">
        <v>13404</v>
      </c>
      <c r="B9" s="4" t="s">
        <v>6</v>
      </c>
    </row>
    <row r="10" spans="1:2" x14ac:dyDescent="0.25">
      <c r="A10" s="5">
        <v>276496</v>
      </c>
      <c r="B10" s="3" t="s">
        <v>7</v>
      </c>
    </row>
    <row r="11" spans="1:2" x14ac:dyDescent="0.25">
      <c r="A11" s="6">
        <v>289131</v>
      </c>
      <c r="B11" s="4" t="s">
        <v>8</v>
      </c>
    </row>
    <row r="12" spans="1:2" x14ac:dyDescent="0.25">
      <c r="A12" s="5">
        <v>280046</v>
      </c>
      <c r="B12" s="3" t="s">
        <v>9</v>
      </c>
    </row>
    <row r="13" spans="1:2" x14ac:dyDescent="0.25">
      <c r="A13" s="6">
        <v>14370</v>
      </c>
      <c r="B13" s="4" t="s">
        <v>10</v>
      </c>
    </row>
    <row r="14" spans="1:2" x14ac:dyDescent="0.25">
      <c r="A14" s="5">
        <v>14362</v>
      </c>
      <c r="B14" s="3" t="s">
        <v>11</v>
      </c>
    </row>
    <row r="15" spans="1:2" x14ac:dyDescent="0.25">
      <c r="A15" s="6">
        <v>14389</v>
      </c>
      <c r="B15" s="4" t="s">
        <v>12</v>
      </c>
    </row>
    <row r="16" spans="1:2" x14ac:dyDescent="0.25">
      <c r="A16" s="5">
        <v>14397</v>
      </c>
      <c r="B16" s="3" t="s">
        <v>13</v>
      </c>
    </row>
    <row r="17" spans="1:2" x14ac:dyDescent="0.25">
      <c r="A17" s="6">
        <v>14648</v>
      </c>
      <c r="B17" s="4" t="s">
        <v>14</v>
      </c>
    </row>
    <row r="18" spans="1:2" x14ac:dyDescent="0.25">
      <c r="A18" s="5">
        <v>14630</v>
      </c>
      <c r="B18" s="3" t="s">
        <v>15</v>
      </c>
    </row>
    <row r="19" spans="1:2" x14ac:dyDescent="0.25">
      <c r="A19" s="6">
        <v>14664</v>
      </c>
      <c r="B19" s="4" t="s">
        <v>16</v>
      </c>
    </row>
    <row r="20" spans="1:2" x14ac:dyDescent="0.25">
      <c r="A20" s="5">
        <v>400572</v>
      </c>
      <c r="B20" s="3" t="s">
        <v>17</v>
      </c>
    </row>
    <row r="21" spans="1:2" x14ac:dyDescent="0.25">
      <c r="A21" s="6">
        <v>285156</v>
      </c>
      <c r="B21" s="4" t="s">
        <v>18</v>
      </c>
    </row>
    <row r="22" spans="1:2" x14ac:dyDescent="0.25">
      <c r="A22" s="5">
        <v>15024</v>
      </c>
      <c r="B22" s="3" t="s">
        <v>19</v>
      </c>
    </row>
    <row r="23" spans="1:2" x14ac:dyDescent="0.25">
      <c r="A23" s="6">
        <v>15040</v>
      </c>
      <c r="B23" s="4" t="s">
        <v>20</v>
      </c>
    </row>
    <row r="24" spans="1:2" x14ac:dyDescent="0.25">
      <c r="A24" s="5">
        <v>15059</v>
      </c>
      <c r="B24" s="3" t="s">
        <v>21</v>
      </c>
    </row>
    <row r="25" spans="1:2" x14ac:dyDescent="0.25">
      <c r="A25" s="6">
        <v>233412</v>
      </c>
      <c r="B25" s="4" t="s">
        <v>22</v>
      </c>
    </row>
    <row r="26" spans="1:2" x14ac:dyDescent="0.25">
      <c r="A26" s="5">
        <v>15067</v>
      </c>
      <c r="B26" s="3" t="s">
        <v>23</v>
      </c>
    </row>
    <row r="27" spans="1:2" x14ac:dyDescent="0.25">
      <c r="A27" s="6">
        <v>15091</v>
      </c>
      <c r="B27" s="4" t="s">
        <v>24</v>
      </c>
    </row>
    <row r="28" spans="1:2" x14ac:dyDescent="0.25">
      <c r="A28" s="5">
        <v>115240</v>
      </c>
      <c r="B28" s="3" t="s">
        <v>25</v>
      </c>
    </row>
    <row r="29" spans="1:2" x14ac:dyDescent="0.25">
      <c r="A29" s="6">
        <v>138363</v>
      </c>
      <c r="B29" s="4" t="s">
        <v>26</v>
      </c>
    </row>
    <row r="30" spans="1:2" x14ac:dyDescent="0.25">
      <c r="A30" s="5">
        <v>161349</v>
      </c>
      <c r="B30" s="3" t="s">
        <v>27</v>
      </c>
    </row>
    <row r="31" spans="1:2" x14ac:dyDescent="0.25">
      <c r="A31" s="8">
        <v>401679</v>
      </c>
      <c r="B31" s="11" t="s">
        <v>52</v>
      </c>
    </row>
    <row r="32" spans="1:2" x14ac:dyDescent="0.25">
      <c r="A32" s="6">
        <v>261807</v>
      </c>
      <c r="B32" s="4" t="s">
        <v>28</v>
      </c>
    </row>
    <row r="33" spans="1:2" x14ac:dyDescent="0.25">
      <c r="A33" s="5">
        <v>15415</v>
      </c>
      <c r="B33" s="3" t="s">
        <v>29</v>
      </c>
    </row>
    <row r="34" spans="1:2" x14ac:dyDescent="0.25">
      <c r="A34" s="6">
        <v>15407</v>
      </c>
      <c r="B34" s="4" t="s">
        <v>30</v>
      </c>
    </row>
    <row r="35" spans="1:2" x14ac:dyDescent="0.25">
      <c r="A35" s="5">
        <v>15423</v>
      </c>
      <c r="B35" s="3" t="s">
        <v>31</v>
      </c>
    </row>
    <row r="36" spans="1:2" x14ac:dyDescent="0.25">
      <c r="A36" s="8">
        <v>166510</v>
      </c>
      <c r="B36" s="11" t="s">
        <v>53</v>
      </c>
    </row>
    <row r="37" spans="1:2" x14ac:dyDescent="0.25">
      <c r="A37" s="6">
        <v>401241</v>
      </c>
      <c r="B37" s="4" t="s">
        <v>32</v>
      </c>
    </row>
    <row r="38" spans="1:2" x14ac:dyDescent="0.25">
      <c r="A38" s="5">
        <v>401003</v>
      </c>
      <c r="B38" s="3" t="s">
        <v>33</v>
      </c>
    </row>
    <row r="39" spans="1:2" x14ac:dyDescent="0.25">
      <c r="A39" s="6">
        <v>401004</v>
      </c>
      <c r="B39" s="4" t="s">
        <v>34</v>
      </c>
    </row>
    <row r="40" spans="1:2" x14ac:dyDescent="0.25">
      <c r="A40" s="5">
        <v>247286</v>
      </c>
      <c r="B40" s="3" t="s">
        <v>35</v>
      </c>
    </row>
    <row r="41" spans="1:2" x14ac:dyDescent="0.25">
      <c r="A41" s="6">
        <v>289027</v>
      </c>
      <c r="B41" s="4" t="s">
        <v>36</v>
      </c>
    </row>
    <row r="42" spans="1:2" x14ac:dyDescent="0.25">
      <c r="A42" s="5">
        <v>289028</v>
      </c>
      <c r="B42" s="3" t="s">
        <v>37</v>
      </c>
    </row>
    <row r="43" spans="1:2" x14ac:dyDescent="0.25">
      <c r="A43" s="6">
        <v>168815</v>
      </c>
      <c r="B43" s="4" t="s">
        <v>38</v>
      </c>
    </row>
    <row r="44" spans="1:2" x14ac:dyDescent="0.25">
      <c r="A44" s="8">
        <v>172707</v>
      </c>
      <c r="B44" s="11" t="s">
        <v>54</v>
      </c>
    </row>
    <row r="45" spans="1:2" x14ac:dyDescent="0.25">
      <c r="A45" s="8">
        <v>272320</v>
      </c>
      <c r="B45" s="11" t="s">
        <v>55</v>
      </c>
    </row>
    <row r="46" spans="1:2" x14ac:dyDescent="0.25">
      <c r="A46" s="5">
        <v>19259</v>
      </c>
      <c r="B46" s="3" t="s">
        <v>39</v>
      </c>
    </row>
    <row r="47" spans="1:2" x14ac:dyDescent="0.25">
      <c r="A47" s="8">
        <v>270362</v>
      </c>
      <c r="B47" s="11" t="s">
        <v>57</v>
      </c>
    </row>
    <row r="48" spans="1:2" x14ac:dyDescent="0.25">
      <c r="A48" s="8">
        <v>262463</v>
      </c>
      <c r="B48" s="11" t="s">
        <v>56</v>
      </c>
    </row>
    <row r="49" spans="1:2" x14ac:dyDescent="0.25">
      <c r="A49" s="6">
        <v>16179</v>
      </c>
      <c r="B49" s="4" t="s">
        <v>40</v>
      </c>
    </row>
    <row r="50" spans="1:2" x14ac:dyDescent="0.25">
      <c r="A50" s="9">
        <v>189910</v>
      </c>
      <c r="B50" s="12" t="s">
        <v>41</v>
      </c>
    </row>
    <row r="51" spans="1:2" x14ac:dyDescent="0.25">
      <c r="A51" s="10">
        <v>116246</v>
      </c>
      <c r="B51" s="13" t="s">
        <v>42</v>
      </c>
    </row>
    <row r="52" spans="1:2" x14ac:dyDescent="0.25">
      <c r="A52" s="9">
        <v>289076</v>
      </c>
      <c r="B52" s="12" t="s">
        <v>43</v>
      </c>
    </row>
    <row r="53" spans="1:2" x14ac:dyDescent="0.25">
      <c r="A53" s="14">
        <v>400551</v>
      </c>
      <c r="B53" t="s">
        <v>66</v>
      </c>
    </row>
    <row r="54" spans="1:2" x14ac:dyDescent="0.25">
      <c r="A54" s="7">
        <v>269693</v>
      </c>
      <c r="B54" t="s">
        <v>58</v>
      </c>
    </row>
    <row r="55" spans="1:2" x14ac:dyDescent="0.25">
      <c r="A55" s="10">
        <v>138983</v>
      </c>
      <c r="B55" s="13" t="s">
        <v>44</v>
      </c>
    </row>
    <row r="56" spans="1:2" x14ac:dyDescent="0.25">
      <c r="A56" s="7">
        <v>218499</v>
      </c>
      <c r="B56" t="s">
        <v>59</v>
      </c>
    </row>
    <row r="57" spans="1:2" x14ac:dyDescent="0.25">
      <c r="A57" s="7">
        <v>261190</v>
      </c>
      <c r="B57" t="s">
        <v>60</v>
      </c>
    </row>
    <row r="58" spans="1:2" x14ac:dyDescent="0.25">
      <c r="A58" s="9">
        <v>270226</v>
      </c>
      <c r="B58" s="12" t="s">
        <v>45</v>
      </c>
    </row>
    <row r="59" spans="1:2" x14ac:dyDescent="0.25">
      <c r="A59" s="7">
        <v>268798</v>
      </c>
      <c r="B59" t="s">
        <v>61</v>
      </c>
    </row>
    <row r="60" spans="1:2" x14ac:dyDescent="0.25">
      <c r="A60" s="7">
        <v>276758</v>
      </c>
      <c r="B60" t="s">
        <v>62</v>
      </c>
    </row>
    <row r="61" spans="1:2" x14ac:dyDescent="0.25">
      <c r="A61" s="10">
        <v>224693</v>
      </c>
      <c r="B61" s="13" t="s">
        <v>46</v>
      </c>
    </row>
    <row r="62" spans="1:2" x14ac:dyDescent="0.25">
      <c r="A62" s="7">
        <v>289184</v>
      </c>
      <c r="B62" t="s">
        <v>63</v>
      </c>
    </row>
    <row r="63" spans="1:2" x14ac:dyDescent="0.25">
      <c r="A63" s="7">
        <v>289182</v>
      </c>
      <c r="B63" t="s">
        <v>64</v>
      </c>
    </row>
    <row r="64" spans="1:2" x14ac:dyDescent="0.25">
      <c r="A64" s="9">
        <v>267210</v>
      </c>
      <c r="B64" s="12" t="s">
        <v>47</v>
      </c>
    </row>
    <row r="65" spans="1:2" x14ac:dyDescent="0.25">
      <c r="A65" s="7">
        <v>269457</v>
      </c>
      <c r="B65" t="s">
        <v>65</v>
      </c>
    </row>
    <row r="66" spans="1:2" x14ac:dyDescent="0.25">
      <c r="A66" s="10">
        <v>274935</v>
      </c>
      <c r="B66" s="13" t="s">
        <v>48</v>
      </c>
    </row>
  </sheetData>
  <autoFilter ref="A1:B1" xr:uid="{43E83C4A-752A-430F-A953-B58C9F8B6443}">
    <sortState xmlns:xlrd2="http://schemas.microsoft.com/office/spreadsheetml/2017/richdata2" ref="A2:B66">
      <sortCondition ref="B1"/>
    </sortState>
  </autoFilter>
  <conditionalFormatting sqref="A50:B65">
    <cfRule type="expression" dxfId="9" priority="6">
      <formula>$E50="URGENTE: Ruptura"</formula>
    </cfRule>
    <cfRule type="expression" dxfId="8" priority="7">
      <formula>$E50="ALERTA: Estoque Critico"</formula>
    </cfRule>
    <cfRule type="expression" dxfId="7" priority="8">
      <formula>$E50="Solicitar reposição"</formula>
    </cfRule>
    <cfRule type="expression" dxfId="6" priority="9">
      <formula>$E50="Estoque suficiente"</formula>
    </cfRule>
    <cfRule type="expression" dxfId="5" priority="10">
      <formula>$E50="AVISO: Estoque Parado"</formula>
    </cfRule>
  </conditionalFormatting>
  <conditionalFormatting sqref="A66:B66">
    <cfRule type="expression" dxfId="4" priority="1">
      <formula>$E66="URGENTE: Ruptura"</formula>
    </cfRule>
    <cfRule type="expression" dxfId="3" priority="2">
      <formula>$E66="ALERTA: Estoque Critico"</formula>
    </cfRule>
    <cfRule type="expression" dxfId="2" priority="3">
      <formula>$D66="Solicitar reposição"</formula>
    </cfRule>
    <cfRule type="expression" dxfId="1" priority="4">
      <formula>$E66="Estoque suficiente"</formula>
    </cfRule>
    <cfRule type="expression" dxfId="0" priority="5">
      <formula>$E66="AVISO: Estoque Parado"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Portaria344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Jonh Freitas Santos</dc:creator>
  <cp:lastModifiedBy>Elton Jonh Freitas Santos</cp:lastModifiedBy>
  <dcterms:created xsi:type="dcterms:W3CDTF">2026-01-19T18:11:56Z</dcterms:created>
  <dcterms:modified xsi:type="dcterms:W3CDTF">2026-01-20T18:40:07Z</dcterms:modified>
</cp:coreProperties>
</file>